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30d0ddcfa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ures" sheetId="1" r:id="R4996c4db0307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000"/>
    <x:numFmt numFmtId="201" formatCode="dd/mm/yyyy"/>
    <x:numFmt numFmtId="202" formatCode="#,##0.00"/>
  </x:numFmts>
  <x:fonts count="4">
    <x:font>
      <x:sz val="11"/>
      <x:name val="Carlito"/>
    </x:font>
    <x:font>
      <x:sz val="10"/>
      <x:color rgb="FF18263B"/>
      <x:name val="Arial"/>
    </x:font>
    <x:font>
      <x:b/>
      <x:sz val="16"/>
      <x:color rgb="FF18263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color rgb="FF9C241A"/>
      </x:font>
      <x:fill>
        <x:patternFill patternType="solid">
          <x:bgColor rgb="FFFCE4D6"/>
        </x:patternFill>
      </x:fill>
    </x:dxf>
    <x:dxf>
      <x:font>
        <x:color rgb="FF9C241A"/>
      </x:font>
      <x:fill>
        <x:patternFill patternType="solid">
          <x:bgColor rgb="FFFCE4D6"/>
        </x:patternFill>
      </x:fill>
    </x:dxf>
    <x:dxf>
      <x:font>
        <x:color rgb="FF9C241A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540615b93421c" /><Relationship Type="http://schemas.openxmlformats.org/officeDocument/2006/relationships/theme" Target="/xl/theme/theme1.xml" Id="R9ed83e13d00d401e" /><Relationship Type="http://schemas.openxmlformats.org/officeDocument/2006/relationships/sharedStrings" Target="/xl/sharedStrings.xml" Id="Rdcda49724fc5496d" /><Relationship Type="http://schemas.openxmlformats.org/officeDocument/2006/relationships/worksheet" Target="/xl/worksheets/sheet1.xml" Id="R4996c4db030748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9.4399995803833" hidden="0" customWidth="1"/>
    <x:col min="3" max="3" width="11.670000076293945" hidden="0" customWidth="1"/>
    <x:col min="4" max="4" width="17.780000686645508" hidden="0" customWidth="1"/>
    <x:col min="5" max="5" width="11.109999656677246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3.329999923706055" hidden="0" customWidth="1"/>
    <x:col min="10" max="10" width="12.779999732971191" hidden="0" customWidth="1"/>
    <x:col min="11" max="11" width="11.109999656677246" hidden="0" customWidth="1"/>
    <x:col min="12" max="12" width="2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Factures scannées : extraction OCR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Source : scanned-invoices.pdf, 4 pages fictives. Montants en EUR.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Les alertes OCR sont celles de l’import initial. Vérifier chaque champ sur le scan avant utilisation.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0" customHeight="1">
      <x:c r="A6" s="12" t="str">
        <x:v>Page</x:v>
      </x:c>
      <x:c r="B6" s="12" t="str">
        <x:v>Facture</x:v>
      </x:c>
      <x:c r="C6" s="12" t="str">
        <x:v>Date</x:v>
      </x:c>
      <x:c r="D6" s="12" t="str">
        <x:v>Fournisseur</x:v>
      </x:c>
      <x:c r="E6" s="12" t="str">
        <x:v>Réf. client</x:v>
      </x:c>
      <x:c r="F6" s="12" t="str">
        <x:v>HT (EUR)</x:v>
      </x:c>
      <x:c r="G6" s="12" t="str">
        <x:v>TVA (EUR)</x:v>
      </x:c>
      <x:c r="H6" s="12" t="str">
        <x:v>TTC (EUR)</x:v>
      </x:c>
      <x:c r="I6" s="12" t="str">
        <x:v>Écart TTC</x:v>
      </x:c>
      <x:c r="J6" s="12" t="str">
        <x:v>Réf. absente</x:v>
      </x:c>
      <x:c r="K6" s="12" t="str">
        <x:v>Doublon</x:v>
      </x:c>
      <x:c r="L6" s="12" t="str">
        <x:v>Alertes OCR initiales</x:v>
      </x:c>
    </x:row>
    <x:row r="7" ht="30" customHeight="1">
      <x:c r="A7" s="6" t="n">
        <x:v>1</x:v>
      </x:c>
      <x:c r="B7" s="7" t="str">
        <x:v>000041</x:v>
      </x:c>
      <x:c r="C7" s="8" t="n">
        <x:v>46275</x:v>
      </x:c>
      <x:c r="D7" s="6" t="str">
        <x:v>Atelier Exemple</x:v>
      </x:c>
      <x:c r="E7" s="7" t="str">
        <x:v>001207</x:v>
      </x:c>
      <x:c r="F7" s="9" t="n">
        <x:v>125</x:v>
      </x:c>
      <x:c r="G7" s="9" t="n">
        <x:v>25</x:v>
      </x:c>
      <x:c r="H7" s="9" t="n">
        <x:v>150</x:v>
      </x:c>
      <x:c r="I7" s="9" t="n">
        <x:f>IF(COUNT(F7:H7)=3,ROUND(H7-F7-G7,2),"Montant absent")</x:f>
        <x:v>0</x:v>
      </x:c>
      <x:c r="J7" s="6" t="str">
        <x:f>IF(E7="","Oui","Non")</x:f>
        <x:v>Non</x:v>
      </x:c>
      <x:c r="K7" s="6" t="str">
        <x:f>IF(OR(B7="",D7=""),"Clé absente",IF(COUNTIFS($B$7:B7,B7,$D$7:D7,D7)&gt;1,"Oui","Non"))</x:f>
        <x:v>Non</x:v>
      </x:c>
      <x:c r="L7" s="6" t="str">
        <x:v>Aucune alerte détectée</x:v>
      </x:c>
    </x:row>
    <x:row r="8" ht="30" customHeight="1">
      <x:c r="A8" s="6" t="n">
        <x:v>2</x:v>
      </x:c>
      <x:c r="B8" s="7" t="str">
        <x:v>000042</x:v>
      </x:c>
      <x:c r="C8" s="8" t="n">
        <x:v>46276</x:v>
      </x:c>
      <x:c r="D8" s="6" t="str">
        <x:v>Studio Fictif</x:v>
      </x:c>
      <x:c r="E8" s="7" t="str">
        <x:v>001208</x:v>
      </x:c>
      <x:c r="F8" s="9" t="n">
        <x:v>200</x:v>
      </x:c>
      <x:c r="G8" s="9" t="n">
        <x:v>40</x:v>
      </x:c>
      <x:c r="H8" s="9" t="n">
        <x:v>245</x:v>
      </x:c>
      <x:c r="I8" s="9" t="n">
        <x:f>IF(COUNT(F8:H8)=3,ROUND(H8-F8-G8,2),"Montant absent")</x:f>
        <x:v>5</x:v>
      </x:c>
      <x:c r="J8" s="6" t="str">
        <x:f>IF(E8="","Oui","Non")</x:f>
        <x:v>Non</x:v>
      </x:c>
      <x:c r="K8" s="6" t="str">
        <x:f>IF(OR(B8="",D8=""),"Clé absente",IF(COUNTIFS($B$7:B8,B8,$D$7:D8,D8)&gt;1,"Oui","Non"))</x:f>
        <x:v>Non</x:v>
      </x:c>
      <x:c r="L8" s="6" t="str">
        <x:v>Total incohérent</x:v>
      </x:c>
    </x:row>
    <x:row r="9" ht="30" customHeight="1">
      <x:c r="A9" s="6" t="n">
        <x:v>3</x:v>
      </x:c>
      <x:c r="B9" s="7" t="str">
        <x:v>000043</x:v>
      </x:c>
      <x:c r="C9" s="8" t="n">
        <x:v>46277</x:v>
      </x:c>
      <x:c r="D9" s="6" t="str">
        <x:v>Bureau Exemple</x:v>
      </x:c>
      <x:c r="E9" s="7"/>
      <x:c r="F9" s="9" t="n">
        <x:v>80</x:v>
      </x:c>
      <x:c r="G9" s="9" t="n">
        <x:v>0</x:v>
      </x:c>
      <x:c r="H9" s="9" t="n">
        <x:v>80</x:v>
      </x:c>
      <x:c r="I9" s="9" t="n">
        <x:f>IF(COUNT(F9:H9)=3,ROUND(H9-F9-G9,2),"Montant absent")</x:f>
        <x:v>0</x:v>
      </x:c>
      <x:c r="J9" s="6" t="str">
        <x:f>IF(E9="","Oui","Non")</x:f>
        <x:v>Oui</x:v>
      </x:c>
      <x:c r="K9" s="6" t="str">
        <x:f>IF(OR(B9="",D9=""),"Clé absente",IF(COUNTIFS($B$7:B9,B9,$D$7:D9,D9)&gt;1,"Oui","Non"))</x:f>
        <x:v>Non</x:v>
      </x:c>
      <x:c r="L9" s="6" t="str">
        <x:v>Référence absente</x:v>
      </x:c>
    </x:row>
    <x:row r="10" ht="30" customHeight="1">
      <x:c r="A10" s="6" t="n">
        <x:v>4</x:v>
      </x:c>
      <x:c r="B10" s="7" t="str">
        <x:v>000041</x:v>
      </x:c>
      <x:c r="C10" s="8" t="n">
        <x:v>46275</x:v>
      </x:c>
      <x:c r="D10" s="6" t="str">
        <x:v>Atelier Exemple</x:v>
      </x:c>
      <x:c r="E10" s="7" t="str">
        <x:v>001207</x:v>
      </x:c>
      <x:c r="F10" s="9" t="n">
        <x:v>125</x:v>
      </x:c>
      <x:c r="G10" s="9" t="n">
        <x:v>25</x:v>
      </x:c>
      <x:c r="H10" s="9" t="n">
        <x:v>150</x:v>
      </x:c>
      <x:c r="I10" s="9" t="n">
        <x:f>IF(COUNT(F10:H10)=3,ROUND(H10-F10-G10,2),"Montant absent")</x:f>
        <x:v>0</x:v>
      </x:c>
      <x:c r="J10" s="6" t="str">
        <x:f>IF(E10="","Oui","Non")</x:f>
        <x:v>Non</x:v>
      </x:c>
      <x:c r="K10" s="6" t="str">
        <x:f>IF(OR(B10="",D10=""),"Clé absente",IF(COUNTIFS($B$7:B10,B10,$D$7:D10,D10)&gt;1,"Oui","Non"))</x:f>
        <x:v>Oui</x:v>
      </x:c>
      <x:c r="L10" s="6" t="str">
        <x:v>Facture répétée</x:v>
      </x:c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</x:sheetData>
  <x:conditionalFormatting sqref="I7:I10">
    <x:cfRule type="expression" dxfId="0" priority="1">
      <x:formula>OR(NOT(ISNUMBER(I7)),I7&lt;&gt;0)</x:formula>
    </x:cfRule>
  </x:conditionalFormatting>
  <x:conditionalFormatting sqref="J7:J10">
    <x:cfRule type="expression" dxfId="1" priority="2">
      <x:formula>J7&lt;&gt;"Non"</x:formula>
    </x:cfRule>
  </x:conditionalFormatting>
  <x:conditionalFormatting sqref="K7:K10">
    <x:cfRule type="expression" dxfId="2" priority="3">
      <x:formula>K7&lt;&gt;"Non"</x:formula>
    </x:cfRule>
  </x:conditionalFormatting>
  <x:pageMargins left="0.7" right="0.7" top="0.75" bottom="0.75" header="0.3" footer="0.3"/>
</x:worksheet>
</file>